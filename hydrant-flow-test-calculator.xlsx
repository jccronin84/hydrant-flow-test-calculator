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711bccef12e9ca/Desktop/hydrant-flow-test/"/>
    </mc:Choice>
  </mc:AlternateContent>
  <xr:revisionPtr revIDLastSave="179" documentId="8_{599F4E0A-716C-4BD1-9B12-647D936C6E6A}" xr6:coauthVersionLast="47" xr6:coauthVersionMax="47" xr10:uidLastSave="{C564E2B3-034F-4DDE-8287-B2F974556572}"/>
  <bookViews>
    <workbookView xWindow="38280" yWindow="165" windowWidth="29040" windowHeight="15720" xr2:uid="{C44C67A6-7468-4286-A2CC-CA4FEFA488D0}"/>
  </bookViews>
  <sheets>
    <sheet name="Estimated Flow" sheetId="1" r:id="rId1"/>
    <sheet name="Sheet2" sheetId="2" r:id="rId2"/>
  </sheets>
  <calcPr calcId="191029" iterate="1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" l="1"/>
  <c r="B17" i="1"/>
  <c r="B11" i="1"/>
  <c r="B5" i="1" s="1"/>
  <c r="E5" i="1" l="1"/>
  <c r="E68" i="1"/>
  <c r="E23" i="1"/>
  <c r="E24" i="1"/>
  <c r="E25" i="1"/>
  <c r="E26" i="1"/>
  <c r="E45" i="1"/>
  <c r="E46" i="1"/>
  <c r="E48" i="1"/>
  <c r="E67" i="1"/>
  <c r="E69" i="1"/>
  <c r="E4" i="1"/>
  <c r="E47" i="1"/>
  <c r="E70" i="1"/>
  <c r="E65" i="1"/>
  <c r="E21" i="1"/>
  <c r="E64" i="1"/>
  <c r="E42" i="1"/>
  <c r="E20" i="1"/>
  <c r="E63" i="1"/>
  <c r="E41" i="1"/>
  <c r="E19" i="1"/>
  <c r="E3" i="1"/>
  <c r="E62" i="1"/>
  <c r="E18" i="1"/>
  <c r="E83" i="1"/>
  <c r="E61" i="1"/>
  <c r="E39" i="1"/>
  <c r="E17" i="1"/>
  <c r="E82" i="1"/>
  <c r="E60" i="1"/>
  <c r="E38" i="1"/>
  <c r="E16" i="1"/>
  <c r="E81" i="1"/>
  <c r="E59" i="1"/>
  <c r="E37" i="1"/>
  <c r="E15" i="1"/>
  <c r="E80" i="1"/>
  <c r="E58" i="1"/>
  <c r="E36" i="1"/>
  <c r="E14" i="1"/>
  <c r="E79" i="1"/>
  <c r="E57" i="1"/>
  <c r="E13" i="1"/>
  <c r="E78" i="1"/>
  <c r="E56" i="1"/>
  <c r="E34" i="1"/>
  <c r="E12" i="1"/>
  <c r="E77" i="1"/>
  <c r="E55" i="1"/>
  <c r="E33" i="1"/>
  <c r="E11" i="1"/>
  <c r="E76" i="1"/>
  <c r="E54" i="1"/>
  <c r="E32" i="1"/>
  <c r="E10" i="1"/>
  <c r="E75" i="1"/>
  <c r="E53" i="1"/>
  <c r="E31" i="1"/>
  <c r="E9" i="1"/>
  <c r="E74" i="1"/>
  <c r="E52" i="1"/>
  <c r="E30" i="1"/>
  <c r="E8" i="1"/>
  <c r="E66" i="1"/>
  <c r="E44" i="1"/>
  <c r="E22" i="1"/>
  <c r="E40" i="1"/>
  <c r="E35" i="1"/>
  <c r="E73" i="1"/>
  <c r="E51" i="1"/>
  <c r="E29" i="1"/>
  <c r="E7" i="1"/>
  <c r="E43" i="1"/>
  <c r="E72" i="1"/>
  <c r="E50" i="1"/>
  <c r="E28" i="1"/>
  <c r="E6" i="1"/>
  <c r="E71" i="1"/>
  <c r="E49" i="1"/>
  <c r="E27" i="1"/>
</calcChain>
</file>

<file path=xl/sharedStrings.xml><?xml version="1.0" encoding="utf-8"?>
<sst xmlns="http://schemas.openxmlformats.org/spreadsheetml/2006/main" count="21" uniqueCount="13">
  <si>
    <t>Hydrant Flow Test</t>
  </si>
  <si>
    <t xml:space="preserve">Static Test Pressure (psi): </t>
  </si>
  <si>
    <t>Residual Test Pressure (psi):</t>
  </si>
  <si>
    <t>Test Flowrate (gpm):</t>
  </si>
  <si>
    <t>Pressure (psi)</t>
  </si>
  <si>
    <t>Hydrant Outlet 1</t>
  </si>
  <si>
    <t>Diameter (in):</t>
  </si>
  <si>
    <t>Coefficient (in):</t>
  </si>
  <si>
    <t>Hydrant Outlet 2</t>
  </si>
  <si>
    <t>Total Test Flowrate (gpm):</t>
  </si>
  <si>
    <t>Hydrant Outlet 3</t>
  </si>
  <si>
    <t>Pitot-gauge Pressure (psi):</t>
  </si>
  <si>
    <t>Projected Flowrate (gpm)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</si>
</sst>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Main Capacity Projection Based on Hydrant Flow Test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'Estimated Flow'!$D$2</c:f>
              <c:strCache>
                <c:ptCount val="1"/>
                <c:pt idx="0">
                  <c:v>Pressure (psi)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10"/>
            <c:marker>
              <c:symbol val="none"/>
            </c:marker>
            <c:bubble3D val="0"/>
            <c:spPr>
              <a:ln w="952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1D0-4DA2-A85B-31CCF7EC8282}"/>
              </c:ext>
            </c:extLst>
          </c:dPt>
          <c:xVal>
            <c:numRef>
              <c:f>'Estimated Flow'!$E$3:$E$83</c:f>
              <c:numCache>
                <c:formatCode>#,##0</c:formatCode>
                <c:ptCount val="81"/>
                <c:pt idx="0">
                  <c:v>0</c:v>
                </c:pt>
                <c:pt idx="1">
                  <c:v>684.3697075224095</c:v>
                </c:pt>
                <c:pt idx="2">
                  <c:v>995.05474642412219</c:v>
                </c:pt>
                <c:pt idx="3">
                  <c:v>1238.6147729337063</c:v>
                </c:pt>
                <c:pt idx="4">
                  <c:v>1446.7822545298045</c:v>
                </c:pt>
                <c:pt idx="5">
                  <c:v>1632.0542108236016</c:v>
                </c:pt>
                <c:pt idx="6">
                  <c:v>1800.9118393925462</c:v>
                </c:pt>
                <c:pt idx="7">
                  <c:v>1957.2383629624517</c:v>
                </c:pt>
                <c:pt idx="8">
                  <c:v>2103.5816366330541</c:v>
                </c:pt>
                <c:pt idx="9">
                  <c:v>2241.7218922264788</c:v>
                </c:pt>
                <c:pt idx="10">
                  <c:v>2372.961969314405</c:v>
                </c:pt>
                <c:pt idx="11">
                  <c:v>2498.2898754950443</c:v>
                </c:pt>
                <c:pt idx="12">
                  <c:v>2618.476320593531</c:v>
                </c:pt>
                <c:pt idx="13">
                  <c:v>2734.13647216349</c:v>
                </c:pt>
                <c:pt idx="14">
                  <c:v>2845.7707895923995</c:v>
                </c:pt>
                <c:pt idx="15">
                  <c:v>2953.7930062291402</c:v>
                </c:pt>
                <c:pt idx="16">
                  <c:v>3058.5498876041402</c:v>
                </c:pt>
                <c:pt idx="17">
                  <c:v>3160.3355430862043</c:v>
                </c:pt>
                <c:pt idx="18">
                  <c:v>3259.4020227725832</c:v>
                </c:pt>
                <c:pt idx="19">
                  <c:v>3355.9673155286546</c:v>
                </c:pt>
                <c:pt idx="20">
                  <c:v>3450.2214880294273</c:v>
                </c:pt>
                <c:pt idx="21">
                  <c:v>3542.3314677301009</c:v>
                </c:pt>
                <c:pt idx="22">
                  <c:v>3632.4448192693749</c:v>
                </c:pt>
                <c:pt idx="23">
                  <c:v>3720.6927620104561</c:v>
                </c:pt>
                <c:pt idx="24">
                  <c:v>3807.1926073970008</c:v>
                </c:pt>
                <c:pt idx="25">
                  <c:v>3892.0497470730484</c:v>
                </c:pt>
                <c:pt idx="26">
                  <c:v>3975.3592891288231</c:v>
                </c:pt>
                <c:pt idx="27">
                  <c:v>4057.2074158172745</c:v>
                </c:pt>
                <c:pt idx="28">
                  <c:v>4137.6725186602689</c:v>
                </c:pt>
                <c:pt idx="29">
                  <c:v>4216.8261540496942</c:v>
                </c:pt>
                <c:pt idx="30">
                  <c:v>4294.7338529101107</c:v>
                </c:pt>
                <c:pt idx="31">
                  <c:v>4371.4558108080901</c:v>
                </c:pt>
                <c:pt idx="32">
                  <c:v>4447.0474794295451</c:v>
                </c:pt>
                <c:pt idx="33">
                  <c:v>4521.5600761486749</c:v>
                </c:pt>
                <c:pt idx="34">
                  <c:v>4595.0410251578987</c:v>
                </c:pt>
                <c:pt idx="35">
                  <c:v>4667.5343410838586</c:v>
                </c:pt>
                <c:pt idx="36">
                  <c:v>4739.0809640095649</c:v>
                </c:pt>
                <c:pt idx="37">
                  <c:v>4809.7190532309933</c:v>
                </c:pt>
                <c:pt idx="38">
                  <c:v>4879.4842458038829</c:v>
                </c:pt>
                <c:pt idx="39">
                  <c:v>4948.4098849124703</c:v>
                </c:pt>
                <c:pt idx="40">
                  <c:v>5016.5272222627746</c:v>
                </c:pt>
                <c:pt idx="41">
                  <c:v>5083.8655980277254</c:v>
                </c:pt>
                <c:pt idx="42">
                  <c:v>5150.4526013184868</c:v>
                </c:pt>
                <c:pt idx="43">
                  <c:v>5216.314213701</c:v>
                </c:pt>
                <c:pt idx="44">
                  <c:v>5281.4749379002124</c:v>
                </c:pt>
                <c:pt idx="45">
                  <c:v>5345.9579135212925</c:v>
                </c:pt>
                <c:pt idx="46">
                  <c:v>5409.7850213558013</c:v>
                </c:pt>
                <c:pt idx="47">
                  <c:v>5472.9769776215517</c:v>
                </c:pt>
                <c:pt idx="48">
                  <c:v>5535.5534193002941</c:v>
                </c:pt>
                <c:pt idx="49">
                  <c:v>5597.5329815814521</c:v>
                </c:pt>
                <c:pt idx="50">
                  <c:v>5658.9333682876777</c:v>
                </c:pt>
                <c:pt idx="51">
                  <c:v>5719.7714160454188</c:v>
                </c:pt>
                <c:pt idx="52">
                  <c:v>5780.0631528673157</c:v>
                </c:pt>
                <c:pt idx="53">
                  <c:v>5839.8238517308246</c:v>
                </c:pt>
                <c:pt idx="54">
                  <c:v>5899.0680796664765</c:v>
                </c:pt>
                <c:pt idx="55">
                  <c:v>5957.8097428079791</c:v>
                </c:pt>
                <c:pt idx="56">
                  <c:v>6016.0621278035405</c:v>
                </c:pt>
                <c:pt idx="57">
                  <c:v>6073.8379399417727</c:v>
                </c:pt>
                <c:pt idx="58">
                  <c:v>6131.1493383057577</c:v>
                </c:pt>
                <c:pt idx="59">
                  <c:v>6188.0079682339847</c:v>
                </c:pt>
                <c:pt idx="60">
                  <c:v>6244.4249913364702</c:v>
                </c:pt>
                <c:pt idx="61">
                  <c:v>6300.4111132877706</c:v>
                </c:pt>
                <c:pt idx="62">
                  <c:v>6355.9766095951381</c:v>
                </c:pt>
                <c:pt idx="63">
                  <c:v>6411.1313495195482</c:v>
                </c:pt>
                <c:pt idx="64">
                  <c:v>6465.8848183091177</c:v>
                </c:pt>
                <c:pt idx="65">
                  <c:v>6520.2461378884118</c:v>
                </c:pt>
                <c:pt idx="66">
                  <c:v>6574.2240861329037</c:v>
                </c:pt>
                <c:pt idx="67">
                  <c:v>6627.8271148452686</c:v>
                </c:pt>
                <c:pt idx="68">
                  <c:v>6681.0633665389314</c:v>
                </c:pt>
                <c:pt idx="69">
                  <c:v>6733.9406901243701</c:v>
                </c:pt>
                <c:pt idx="70">
                  <c:v>6786.4666555846952</c:v>
                </c:pt>
                <c:pt idx="71">
                  <c:v>6838.6485677191167</c:v>
                </c:pt>
                <c:pt idx="72">
                  <c:v>6890.4934790257503</c:v>
                </c:pt>
                <c:pt idx="73">
                  <c:v>6942.0082017888435</c:v>
                </c:pt>
                <c:pt idx="74">
                  <c:v>6993.1993194297293</c:v>
                </c:pt>
                <c:pt idx="75">
                  <c:v>7044.073197175695</c:v>
                </c:pt>
                <c:pt idx="76">
                  <c:v>7094.6359920962677</c:v>
                </c:pt>
                <c:pt idx="77">
                  <c:v>7144.8936625522319</c:v>
                </c:pt>
                <c:pt idx="78">
                  <c:v>7194.8519770988923</c:v>
                </c:pt>
                <c:pt idx="79">
                  <c:v>7244.5165228817132</c:v>
                </c:pt>
                <c:pt idx="80">
                  <c:v>7293.8927135592703</c:v>
                </c:pt>
              </c:numCache>
            </c:numRef>
          </c:xVal>
          <c:yVal>
            <c:numRef>
              <c:f>'Estimated Flow'!$D$3:$D$83</c:f>
              <c:numCache>
                <c:formatCode>General</c:formatCode>
                <c:ptCount val="81"/>
                <c:pt idx="0">
                  <c:v>80</c:v>
                </c:pt>
                <c:pt idx="1">
                  <c:v>79</c:v>
                </c:pt>
                <c:pt idx="2">
                  <c:v>78</c:v>
                </c:pt>
                <c:pt idx="3">
                  <c:v>77</c:v>
                </c:pt>
                <c:pt idx="4">
                  <c:v>76</c:v>
                </c:pt>
                <c:pt idx="5">
                  <c:v>75</c:v>
                </c:pt>
                <c:pt idx="6">
                  <c:v>74</c:v>
                </c:pt>
                <c:pt idx="7">
                  <c:v>73</c:v>
                </c:pt>
                <c:pt idx="8">
                  <c:v>72</c:v>
                </c:pt>
                <c:pt idx="9">
                  <c:v>71</c:v>
                </c:pt>
                <c:pt idx="10">
                  <c:v>70</c:v>
                </c:pt>
                <c:pt idx="11">
                  <c:v>69</c:v>
                </c:pt>
                <c:pt idx="12">
                  <c:v>68</c:v>
                </c:pt>
                <c:pt idx="13">
                  <c:v>67</c:v>
                </c:pt>
                <c:pt idx="14">
                  <c:v>66</c:v>
                </c:pt>
                <c:pt idx="15">
                  <c:v>65</c:v>
                </c:pt>
                <c:pt idx="16">
                  <c:v>64</c:v>
                </c:pt>
                <c:pt idx="17">
                  <c:v>63</c:v>
                </c:pt>
                <c:pt idx="18">
                  <c:v>62</c:v>
                </c:pt>
                <c:pt idx="19">
                  <c:v>61</c:v>
                </c:pt>
                <c:pt idx="20">
                  <c:v>60</c:v>
                </c:pt>
                <c:pt idx="21">
                  <c:v>59</c:v>
                </c:pt>
                <c:pt idx="22">
                  <c:v>58</c:v>
                </c:pt>
                <c:pt idx="23">
                  <c:v>57</c:v>
                </c:pt>
                <c:pt idx="24">
                  <c:v>56</c:v>
                </c:pt>
                <c:pt idx="25">
                  <c:v>55</c:v>
                </c:pt>
                <c:pt idx="26">
                  <c:v>54</c:v>
                </c:pt>
                <c:pt idx="27">
                  <c:v>53</c:v>
                </c:pt>
                <c:pt idx="28">
                  <c:v>52</c:v>
                </c:pt>
                <c:pt idx="29">
                  <c:v>51</c:v>
                </c:pt>
                <c:pt idx="30">
                  <c:v>50</c:v>
                </c:pt>
                <c:pt idx="31">
                  <c:v>49</c:v>
                </c:pt>
                <c:pt idx="32">
                  <c:v>48</c:v>
                </c:pt>
                <c:pt idx="33">
                  <c:v>47</c:v>
                </c:pt>
                <c:pt idx="34">
                  <c:v>46</c:v>
                </c:pt>
                <c:pt idx="35">
                  <c:v>45</c:v>
                </c:pt>
                <c:pt idx="36">
                  <c:v>44</c:v>
                </c:pt>
                <c:pt idx="37">
                  <c:v>43</c:v>
                </c:pt>
                <c:pt idx="38">
                  <c:v>42</c:v>
                </c:pt>
                <c:pt idx="39">
                  <c:v>41</c:v>
                </c:pt>
                <c:pt idx="40">
                  <c:v>40</c:v>
                </c:pt>
                <c:pt idx="41">
                  <c:v>39</c:v>
                </c:pt>
                <c:pt idx="42">
                  <c:v>38</c:v>
                </c:pt>
                <c:pt idx="43">
                  <c:v>37</c:v>
                </c:pt>
                <c:pt idx="44">
                  <c:v>36</c:v>
                </c:pt>
                <c:pt idx="45">
                  <c:v>35</c:v>
                </c:pt>
                <c:pt idx="46">
                  <c:v>34</c:v>
                </c:pt>
                <c:pt idx="47">
                  <c:v>33</c:v>
                </c:pt>
                <c:pt idx="48">
                  <c:v>32</c:v>
                </c:pt>
                <c:pt idx="49">
                  <c:v>31</c:v>
                </c:pt>
                <c:pt idx="50">
                  <c:v>30</c:v>
                </c:pt>
                <c:pt idx="51">
                  <c:v>29</c:v>
                </c:pt>
                <c:pt idx="52">
                  <c:v>28</c:v>
                </c:pt>
                <c:pt idx="53">
                  <c:v>27</c:v>
                </c:pt>
                <c:pt idx="54">
                  <c:v>26</c:v>
                </c:pt>
                <c:pt idx="55">
                  <c:v>25</c:v>
                </c:pt>
                <c:pt idx="56">
                  <c:v>24</c:v>
                </c:pt>
                <c:pt idx="57">
                  <c:v>23</c:v>
                </c:pt>
                <c:pt idx="58">
                  <c:v>22</c:v>
                </c:pt>
                <c:pt idx="59">
                  <c:v>21</c:v>
                </c:pt>
                <c:pt idx="60">
                  <c:v>20</c:v>
                </c:pt>
                <c:pt idx="61">
                  <c:v>19</c:v>
                </c:pt>
                <c:pt idx="62">
                  <c:v>18</c:v>
                </c:pt>
                <c:pt idx="63">
                  <c:v>17</c:v>
                </c:pt>
                <c:pt idx="64">
                  <c:v>16</c:v>
                </c:pt>
                <c:pt idx="65">
                  <c:v>15</c:v>
                </c:pt>
                <c:pt idx="66">
                  <c:v>14</c:v>
                </c:pt>
                <c:pt idx="67">
                  <c:v>13</c:v>
                </c:pt>
                <c:pt idx="68">
                  <c:v>12</c:v>
                </c:pt>
                <c:pt idx="69">
                  <c:v>11</c:v>
                </c:pt>
                <c:pt idx="70">
                  <c:v>10</c:v>
                </c:pt>
                <c:pt idx="71">
                  <c:v>9</c:v>
                </c:pt>
                <c:pt idx="72">
                  <c:v>8</c:v>
                </c:pt>
                <c:pt idx="73">
                  <c:v>7</c:v>
                </c:pt>
                <c:pt idx="74">
                  <c:v>6</c:v>
                </c:pt>
                <c:pt idx="75">
                  <c:v>5</c:v>
                </c:pt>
                <c:pt idx="76">
                  <c:v>4</c:v>
                </c:pt>
                <c:pt idx="77">
                  <c:v>3</c:v>
                </c:pt>
                <c:pt idx="78">
                  <c:v>2</c:v>
                </c:pt>
                <c:pt idx="79">
                  <c:v>1</c:v>
                </c:pt>
                <c:pt idx="8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205-4154-BF0A-483D4A075CAD}"/>
            </c:ext>
          </c:extLst>
        </c:ser>
        <c:ser>
          <c:idx val="1"/>
          <c:order val="1"/>
          <c:spPr>
            <a:ln w="9525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0070C0"/>
              </a:solidFill>
              <a:ln w="9525">
                <a:solidFill>
                  <a:srgbClr val="0070C0"/>
                </a:solidFill>
                <a:round/>
              </a:ln>
              <a:effectLst/>
            </c:spPr>
          </c:marker>
          <c:dPt>
            <c:idx val="0"/>
            <c:marker>
              <c:symbol val="circle"/>
              <c:size val="7"/>
              <c:spPr>
                <a:solidFill>
                  <a:srgbClr val="0070C0"/>
                </a:solidFill>
                <a:ln w="9525">
                  <a:solidFill>
                    <a:srgbClr val="0070C0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F1D0-4DA2-A85B-31CCF7EC8282}"/>
              </c:ext>
            </c:extLst>
          </c:dPt>
          <c:xVal>
            <c:numRef>
              <c:f>('Estimated Flow'!$E$13,'Estimated Flow'!$E$23,'Estimated Flow'!$E$33,'Estimated Flow'!$E$43,'Estimated Flow'!$E$53,'Estimated Flow'!$E$63,'Estimated Flow'!$E$73)</c:f>
              <c:numCache>
                <c:formatCode>#,##0</c:formatCode>
                <c:ptCount val="7"/>
                <c:pt idx="0">
                  <c:v>2372.961969314405</c:v>
                </c:pt>
                <c:pt idx="1">
                  <c:v>3450.2214880294273</c:v>
                </c:pt>
                <c:pt idx="2">
                  <c:v>4294.7338529101107</c:v>
                </c:pt>
                <c:pt idx="3">
                  <c:v>5016.5272222627746</c:v>
                </c:pt>
                <c:pt idx="4">
                  <c:v>5658.9333682876777</c:v>
                </c:pt>
                <c:pt idx="5">
                  <c:v>6244.4249913364702</c:v>
                </c:pt>
                <c:pt idx="6">
                  <c:v>6786.4666555846952</c:v>
                </c:pt>
              </c:numCache>
            </c:numRef>
          </c:xVal>
          <c:yVal>
            <c:numRef>
              <c:f>('Estimated Flow'!$D$13,'Estimated Flow'!$D$23,'Estimated Flow'!$D$33,'Estimated Flow'!$D$43,'Estimated Flow'!$D$53,'Estimated Flow'!$D$63,'Estimated Flow'!$D$73)</c:f>
              <c:numCache>
                <c:formatCode>General</c:formatCode>
                <c:ptCount val="7"/>
                <c:pt idx="0">
                  <c:v>70</c:v>
                </c:pt>
                <c:pt idx="1">
                  <c:v>60</c:v>
                </c:pt>
                <c:pt idx="2">
                  <c:v>50</c:v>
                </c:pt>
                <c:pt idx="3">
                  <c:v>40</c:v>
                </c:pt>
                <c:pt idx="4">
                  <c:v>30</c:v>
                </c:pt>
                <c:pt idx="5">
                  <c:v>20</c:v>
                </c:pt>
                <c:pt idx="6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205-4154-BF0A-483D4A075CAD}"/>
            </c:ext>
          </c:extLst>
        </c:ser>
        <c:ser>
          <c:idx val="2"/>
          <c:order val="2"/>
          <c:tx>
            <c:v>Test Flowrate</c:v>
          </c:tx>
          <c:spPr>
            <a:ln w="9525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FF0000"/>
              </a:solidFill>
              <a:ln w="9525">
                <a:solidFill>
                  <a:srgbClr val="FF0000"/>
                </a:solidFill>
                <a:round/>
              </a:ln>
              <a:effectLst/>
            </c:spPr>
          </c:marker>
          <c:xVal>
            <c:numRef>
              <c:f>'Estimated Flow'!$E$10</c:f>
              <c:numCache>
                <c:formatCode>#,##0</c:formatCode>
                <c:ptCount val="1"/>
                <c:pt idx="0">
                  <c:v>1957.2383629624517</c:v>
                </c:pt>
              </c:numCache>
            </c:numRef>
          </c:xVal>
          <c:yVal>
            <c:numRef>
              <c:f>'Estimated Flow'!$D$10</c:f>
              <c:numCache>
                <c:formatCode>General</c:formatCode>
                <c:ptCount val="1"/>
                <c:pt idx="0">
                  <c:v>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205-4154-BF0A-483D4A075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860223"/>
        <c:axId val="1395854463"/>
      </c:scatterChart>
      <c:valAx>
        <c:axId val="1395860223"/>
        <c:scaling>
          <c:orientation val="minMax"/>
          <c:max val="800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Projected</a:t>
                </a:r>
                <a:r>
                  <a:rPr lang="en-US" baseline="0"/>
                  <a:t> Flowrate (gpm)</a:t>
                </a:r>
                <a:r>
                  <a:rPr lang="en-US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>
            <a:glow rad="25400">
              <a:schemeClr val="accent1">
                <a:alpha val="40000"/>
              </a:schemeClr>
            </a:glow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854463"/>
        <c:crosses val="autoZero"/>
        <c:crossBetween val="midCat"/>
      </c:valAx>
      <c:valAx>
        <c:axId val="139585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Pressure (psi)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860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12699</xdr:colOff>
      <xdr:row>1</xdr:row>
      <xdr:rowOff>20636</xdr:rowOff>
    </xdr:from>
    <xdr:to>
      <xdr:col>18</xdr:col>
      <xdr:colOff>12699</xdr:colOff>
      <xdr:row>26</xdr:row>
      <xdr:rowOff>65086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C06CE9-48D2-8611-E3BB-7EB6632268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CCC12-C6D7-466F-ADB8-9A5DA827E6D1}">
  <dimension ref="A1:E83"/>
  <sheetViews>
    <sheetView tabSelected="1" topLeftCell="B1" workbookViewId="0">
      <selection activeCell="B3" sqref="B3"/>
    </sheetView>
  </sheetViews>
  <sheetFormatPr defaultRowHeight="14.5" x14ac:dyDescent="0.35"/>
  <cols>
    <col min="1" max="1" width="40.6328125" style="1" customWidth="1"/>
    <col min="2" max="2" width="20.6328125" customWidth="1"/>
    <col min="4" max="5" width="25.6328125" style="1" customWidth="1"/>
  </cols>
  <sheetData>
    <row r="1" spans="1:5" ht="23.5" x14ac:dyDescent="0.55000000000000004">
      <c r="A1" s="2" t="s">
        <v>0</v>
      </c>
    </row>
    <row r="2" spans="1:5" x14ac:dyDescent="0.35">
      <c r="D2" s="1" t="s">
        <v>4</v>
      </c>
      <c r="E2" s="1" t="s">
        <v>12</v>
      </c>
    </row>
    <row r="3" spans="1:5" x14ac:dyDescent="0.35">
      <c r="A3" s="3" t="s">
        <v>1</v>
      </c>
      <c r="B3" s="1">
        <v>80</v>
      </c>
      <c r="D3" s="1">
        <v>80</v>
      </c>
      <c r="E3" s="4">
        <f>$B$5*(($B$3-D3)/($B$3-$B$4))^0.54</f>
        <v>0</v>
      </c>
    </row>
    <row r="4" spans="1:5" x14ac:dyDescent="0.35">
      <c r="A4" s="3" t="s">
        <v>2</v>
      </c>
      <c r="B4" s="1">
        <v>70</v>
      </c>
      <c r="D4" s="1">
        <v>79</v>
      </c>
      <c r="E4" s="4">
        <f t="shared" ref="E4:E67" si="0">$B$5*(($B$3-D4)/($B$3-$B$4))^0.54</f>
        <v>684.3697075224095</v>
      </c>
    </row>
    <row r="5" spans="1:5" x14ac:dyDescent="0.35">
      <c r="A5" s="3" t="s">
        <v>9</v>
      </c>
      <c r="B5" s="4">
        <f>SUM(B11,B17,B23)</f>
        <v>2372.961969314405</v>
      </c>
      <c r="D5" s="1">
        <v>78</v>
      </c>
      <c r="E5" s="4">
        <f t="shared" si="0"/>
        <v>995.05474642412219</v>
      </c>
    </row>
    <row r="6" spans="1:5" x14ac:dyDescent="0.35">
      <c r="D6" s="1">
        <v>77</v>
      </c>
      <c r="E6" s="4">
        <f t="shared" si="0"/>
        <v>1238.6147729337063</v>
      </c>
    </row>
    <row r="7" spans="1:5" x14ac:dyDescent="0.35">
      <c r="A7" s="5" t="s">
        <v>5</v>
      </c>
      <c r="D7" s="1">
        <v>76</v>
      </c>
      <c r="E7" s="4">
        <f t="shared" si="0"/>
        <v>1446.7822545298045</v>
      </c>
    </row>
    <row r="8" spans="1:5" x14ac:dyDescent="0.35">
      <c r="A8" s="3" t="s">
        <v>6</v>
      </c>
      <c r="B8" s="1">
        <v>2.5</v>
      </c>
      <c r="D8" s="1">
        <v>75</v>
      </c>
      <c r="E8" s="4">
        <f t="shared" si="0"/>
        <v>1632.0542108236016</v>
      </c>
    </row>
    <row r="9" spans="1:5" x14ac:dyDescent="0.35">
      <c r="A9" s="3" t="s">
        <v>7</v>
      </c>
      <c r="B9" s="1">
        <v>0.9</v>
      </c>
      <c r="D9" s="1">
        <v>74</v>
      </c>
      <c r="E9" s="4">
        <f t="shared" si="0"/>
        <v>1800.9118393925462</v>
      </c>
    </row>
    <row r="10" spans="1:5" x14ac:dyDescent="0.35">
      <c r="A10" s="3" t="s">
        <v>11</v>
      </c>
      <c r="B10" s="1">
        <v>50</v>
      </c>
      <c r="D10" s="1">
        <v>73</v>
      </c>
      <c r="E10" s="4">
        <f t="shared" si="0"/>
        <v>1957.2383629624517</v>
      </c>
    </row>
    <row r="11" spans="1:5" x14ac:dyDescent="0.35">
      <c r="A11" s="3" t="s">
        <v>3</v>
      </c>
      <c r="B11" s="4">
        <f>29.83*B9*B8^2*SQRT(B10)</f>
        <v>1186.4809846572025</v>
      </c>
      <c r="D11" s="1">
        <v>72</v>
      </c>
      <c r="E11" s="4">
        <f t="shared" si="0"/>
        <v>2103.5816366330541</v>
      </c>
    </row>
    <row r="12" spans="1:5" x14ac:dyDescent="0.35">
      <c r="B12" s="1"/>
      <c r="D12" s="1">
        <v>71</v>
      </c>
      <c r="E12" s="4">
        <f t="shared" si="0"/>
        <v>2241.7218922264788</v>
      </c>
    </row>
    <row r="13" spans="1:5" x14ac:dyDescent="0.35">
      <c r="A13" s="5" t="s">
        <v>8</v>
      </c>
      <c r="B13" s="1"/>
      <c r="D13" s="1">
        <v>70</v>
      </c>
      <c r="E13" s="4">
        <f t="shared" si="0"/>
        <v>2372.961969314405</v>
      </c>
    </row>
    <row r="14" spans="1:5" x14ac:dyDescent="0.35">
      <c r="A14" s="3" t="s">
        <v>6</v>
      </c>
      <c r="B14" s="1">
        <v>2.5</v>
      </c>
      <c r="D14" s="1">
        <v>69</v>
      </c>
      <c r="E14" s="4">
        <f t="shared" si="0"/>
        <v>2498.2898754950443</v>
      </c>
    </row>
    <row r="15" spans="1:5" x14ac:dyDescent="0.35">
      <c r="A15" s="3" t="s">
        <v>7</v>
      </c>
      <c r="B15" s="1">
        <v>0.9</v>
      </c>
      <c r="D15" s="1">
        <v>68</v>
      </c>
      <c r="E15" s="4">
        <f t="shared" si="0"/>
        <v>2618.476320593531</v>
      </c>
    </row>
    <row r="16" spans="1:5" x14ac:dyDescent="0.35">
      <c r="A16" s="3" t="s">
        <v>11</v>
      </c>
      <c r="B16" s="1">
        <v>50</v>
      </c>
      <c r="D16" s="1">
        <v>67</v>
      </c>
      <c r="E16" s="4">
        <f t="shared" si="0"/>
        <v>2734.13647216349</v>
      </c>
    </row>
    <row r="17" spans="1:5" x14ac:dyDescent="0.35">
      <c r="A17" s="3" t="s">
        <v>3</v>
      </c>
      <c r="B17" s="4">
        <f>29.83*B15*B14^2*SQRT(B16)</f>
        <v>1186.4809846572025</v>
      </c>
      <c r="D17" s="1">
        <v>66</v>
      </c>
      <c r="E17" s="4">
        <f t="shared" si="0"/>
        <v>2845.7707895923995</v>
      </c>
    </row>
    <row r="18" spans="1:5" x14ac:dyDescent="0.35">
      <c r="B18" s="1"/>
      <c r="D18" s="1">
        <v>65</v>
      </c>
      <c r="E18" s="4">
        <f t="shared" si="0"/>
        <v>2953.7930062291402</v>
      </c>
    </row>
    <row r="19" spans="1:5" x14ac:dyDescent="0.35">
      <c r="A19" s="5" t="s">
        <v>10</v>
      </c>
      <c r="B19" s="6"/>
      <c r="D19" s="1">
        <v>64</v>
      </c>
      <c r="E19" s="4">
        <f t="shared" si="0"/>
        <v>3058.5498876041402</v>
      </c>
    </row>
    <row r="20" spans="1:5" x14ac:dyDescent="0.35">
      <c r="A20" s="3" t="s">
        <v>6</v>
      </c>
      <c r="B20" s="1">
        <v>2.5</v>
      </c>
      <c r="D20" s="1">
        <v>63</v>
      </c>
      <c r="E20" s="4">
        <f t="shared" si="0"/>
        <v>3160.3355430862043</v>
      </c>
    </row>
    <row r="21" spans="1:5" x14ac:dyDescent="0.35">
      <c r="A21" s="3" t="s">
        <v>7</v>
      </c>
      <c r="B21" s="1">
        <v>0.9</v>
      </c>
      <c r="D21" s="1">
        <v>62</v>
      </c>
      <c r="E21" s="4">
        <f t="shared" si="0"/>
        <v>3259.4020227725832</v>
      </c>
    </row>
    <row r="22" spans="1:5" x14ac:dyDescent="0.35">
      <c r="A22" s="3" t="s">
        <v>11</v>
      </c>
      <c r="B22" s="1">
        <v>0</v>
      </c>
      <c r="D22" s="1">
        <v>61</v>
      </c>
      <c r="E22" s="4">
        <f t="shared" si="0"/>
        <v>3355.9673155286546</v>
      </c>
    </row>
    <row r="23" spans="1:5" x14ac:dyDescent="0.35">
      <c r="A23" s="3" t="s">
        <v>3</v>
      </c>
      <c r="B23" s="4">
        <f>29.83*B21*B20^2*SQRT(B22)</f>
        <v>0</v>
      </c>
      <c r="D23" s="1">
        <v>60</v>
      </c>
      <c r="E23" s="4">
        <f t="shared" si="0"/>
        <v>3450.2214880294273</v>
      </c>
    </row>
    <row r="24" spans="1:5" x14ac:dyDescent="0.35">
      <c r="D24" s="1">
        <v>59</v>
      </c>
      <c r="E24" s="4">
        <f t="shared" si="0"/>
        <v>3542.3314677301009</v>
      </c>
    </row>
    <row r="25" spans="1:5" x14ac:dyDescent="0.35">
      <c r="D25" s="1">
        <v>58</v>
      </c>
      <c r="E25" s="4">
        <f t="shared" si="0"/>
        <v>3632.4448192693749</v>
      </c>
    </row>
    <row r="26" spans="1:5" x14ac:dyDescent="0.35">
      <c r="D26" s="1">
        <v>57</v>
      </c>
      <c r="E26" s="4">
        <f t="shared" si="0"/>
        <v>3720.6927620104561</v>
      </c>
    </row>
    <row r="27" spans="1:5" x14ac:dyDescent="0.35">
      <c r="D27" s="1">
        <v>56</v>
      </c>
      <c r="E27" s="4">
        <f t="shared" si="0"/>
        <v>3807.1926073970008</v>
      </c>
    </row>
    <row r="28" spans="1:5" x14ac:dyDescent="0.35">
      <c r="D28" s="1">
        <v>55</v>
      </c>
      <c r="E28" s="4">
        <f t="shared" si="0"/>
        <v>3892.0497470730484</v>
      </c>
    </row>
    <row r="29" spans="1:5" x14ac:dyDescent="0.35">
      <c r="D29" s="1">
        <v>54</v>
      </c>
      <c r="E29" s="4">
        <f t="shared" si="0"/>
        <v>3975.3592891288231</v>
      </c>
    </row>
    <row r="30" spans="1:5" x14ac:dyDescent="0.35">
      <c r="D30" s="1">
        <v>53</v>
      </c>
      <c r="E30" s="4">
        <f t="shared" si="0"/>
        <v>4057.2074158172745</v>
      </c>
    </row>
    <row r="31" spans="1:5" x14ac:dyDescent="0.35">
      <c r="D31" s="1">
        <v>52</v>
      </c>
      <c r="E31" s="4">
        <f t="shared" si="0"/>
        <v>4137.6725186602689</v>
      </c>
    </row>
    <row r="32" spans="1:5" x14ac:dyDescent="0.35">
      <c r="D32" s="1">
        <v>51</v>
      </c>
      <c r="E32" s="4">
        <f t="shared" si="0"/>
        <v>4216.8261540496942</v>
      </c>
    </row>
    <row r="33" spans="4:5" x14ac:dyDescent="0.35">
      <c r="D33" s="1">
        <v>50</v>
      </c>
      <c r="E33" s="4">
        <f t="shared" si="0"/>
        <v>4294.7338529101107</v>
      </c>
    </row>
    <row r="34" spans="4:5" x14ac:dyDescent="0.35">
      <c r="D34" s="1">
        <v>49</v>
      </c>
      <c r="E34" s="4">
        <f t="shared" si="0"/>
        <v>4371.4558108080901</v>
      </c>
    </row>
    <row r="35" spans="4:5" x14ac:dyDescent="0.35">
      <c r="D35" s="1">
        <v>48</v>
      </c>
      <c r="E35" s="4">
        <f t="shared" si="0"/>
        <v>4447.0474794295451</v>
      </c>
    </row>
    <row r="36" spans="4:5" x14ac:dyDescent="0.35">
      <c r="D36" s="1">
        <v>47</v>
      </c>
      <c r="E36" s="4">
        <f t="shared" si="0"/>
        <v>4521.5600761486749</v>
      </c>
    </row>
    <row r="37" spans="4:5" x14ac:dyDescent="0.35">
      <c r="D37" s="1">
        <v>46</v>
      </c>
      <c r="E37" s="4">
        <f t="shared" si="0"/>
        <v>4595.0410251578987</v>
      </c>
    </row>
    <row r="38" spans="4:5" x14ac:dyDescent="0.35">
      <c r="D38" s="1">
        <v>45</v>
      </c>
      <c r="E38" s="4">
        <f t="shared" si="0"/>
        <v>4667.5343410838586</v>
      </c>
    </row>
    <row r="39" spans="4:5" x14ac:dyDescent="0.35">
      <c r="D39" s="1">
        <v>44</v>
      </c>
      <c r="E39" s="4">
        <f t="shared" si="0"/>
        <v>4739.0809640095649</v>
      </c>
    </row>
    <row r="40" spans="4:5" x14ac:dyDescent="0.35">
      <c r="D40" s="1">
        <v>43</v>
      </c>
      <c r="E40" s="4">
        <f t="shared" si="0"/>
        <v>4809.7190532309933</v>
      </c>
    </row>
    <row r="41" spans="4:5" x14ac:dyDescent="0.35">
      <c r="D41" s="1">
        <v>42</v>
      </c>
      <c r="E41" s="4">
        <f t="shared" si="0"/>
        <v>4879.4842458038829</v>
      </c>
    </row>
    <row r="42" spans="4:5" x14ac:dyDescent="0.35">
      <c r="D42" s="1">
        <v>41</v>
      </c>
      <c r="E42" s="4">
        <f t="shared" si="0"/>
        <v>4948.4098849124703</v>
      </c>
    </row>
    <row r="43" spans="4:5" x14ac:dyDescent="0.35">
      <c r="D43" s="1">
        <v>40</v>
      </c>
      <c r="E43" s="4">
        <f t="shared" si="0"/>
        <v>5016.5272222627746</v>
      </c>
    </row>
    <row r="44" spans="4:5" x14ac:dyDescent="0.35">
      <c r="D44" s="1">
        <v>39</v>
      </c>
      <c r="E44" s="4">
        <f t="shared" si="0"/>
        <v>5083.8655980277254</v>
      </c>
    </row>
    <row r="45" spans="4:5" x14ac:dyDescent="0.35">
      <c r="D45" s="1">
        <v>38</v>
      </c>
      <c r="E45" s="4">
        <f t="shared" si="0"/>
        <v>5150.4526013184868</v>
      </c>
    </row>
    <row r="46" spans="4:5" x14ac:dyDescent="0.35">
      <c r="D46" s="1">
        <v>37</v>
      </c>
      <c r="E46" s="4">
        <f t="shared" si="0"/>
        <v>5216.314213701</v>
      </c>
    </row>
    <row r="47" spans="4:5" x14ac:dyDescent="0.35">
      <c r="D47" s="1">
        <v>36</v>
      </c>
      <c r="E47" s="4">
        <f t="shared" si="0"/>
        <v>5281.4749379002124</v>
      </c>
    </row>
    <row r="48" spans="4:5" x14ac:dyDescent="0.35">
      <c r="D48" s="1">
        <v>35</v>
      </c>
      <c r="E48" s="4">
        <f t="shared" si="0"/>
        <v>5345.9579135212925</v>
      </c>
    </row>
    <row r="49" spans="4:5" x14ac:dyDescent="0.35">
      <c r="D49" s="1">
        <v>34</v>
      </c>
      <c r="E49" s="4">
        <f t="shared" si="0"/>
        <v>5409.7850213558013</v>
      </c>
    </row>
    <row r="50" spans="4:5" x14ac:dyDescent="0.35">
      <c r="D50" s="1">
        <v>33</v>
      </c>
      <c r="E50" s="4">
        <f t="shared" si="0"/>
        <v>5472.9769776215517</v>
      </c>
    </row>
    <row r="51" spans="4:5" x14ac:dyDescent="0.35">
      <c r="D51" s="1">
        <v>32</v>
      </c>
      <c r="E51" s="4">
        <f t="shared" si="0"/>
        <v>5535.5534193002941</v>
      </c>
    </row>
    <row r="52" spans="4:5" x14ac:dyDescent="0.35">
      <c r="D52" s="1">
        <v>31</v>
      </c>
      <c r="E52" s="4">
        <f t="shared" si="0"/>
        <v>5597.5329815814521</v>
      </c>
    </row>
    <row r="53" spans="4:5" x14ac:dyDescent="0.35">
      <c r="D53" s="1">
        <v>30</v>
      </c>
      <c r="E53" s="4">
        <f t="shared" si="0"/>
        <v>5658.9333682876777</v>
      </c>
    </row>
    <row r="54" spans="4:5" x14ac:dyDescent="0.35">
      <c r="D54" s="1">
        <v>29</v>
      </c>
      <c r="E54" s="4">
        <f t="shared" si="0"/>
        <v>5719.7714160454188</v>
      </c>
    </row>
    <row r="55" spans="4:5" x14ac:dyDescent="0.35">
      <c r="D55" s="1">
        <v>28</v>
      </c>
      <c r="E55" s="4">
        <f t="shared" si="0"/>
        <v>5780.0631528673157</v>
      </c>
    </row>
    <row r="56" spans="4:5" x14ac:dyDescent="0.35">
      <c r="D56" s="1">
        <v>27</v>
      </c>
      <c r="E56" s="4">
        <f t="shared" si="0"/>
        <v>5839.8238517308246</v>
      </c>
    </row>
    <row r="57" spans="4:5" x14ac:dyDescent="0.35">
      <c r="D57" s="1">
        <v>26</v>
      </c>
      <c r="E57" s="4">
        <f t="shared" si="0"/>
        <v>5899.0680796664765</v>
      </c>
    </row>
    <row r="58" spans="4:5" x14ac:dyDescent="0.35">
      <c r="D58" s="1">
        <v>25</v>
      </c>
      <c r="E58" s="4">
        <f t="shared" si="0"/>
        <v>5957.8097428079791</v>
      </c>
    </row>
    <row r="59" spans="4:5" x14ac:dyDescent="0.35">
      <c r="D59" s="1">
        <v>24</v>
      </c>
      <c r="E59" s="4">
        <f t="shared" si="0"/>
        <v>6016.0621278035405</v>
      </c>
    </row>
    <row r="60" spans="4:5" x14ac:dyDescent="0.35">
      <c r="D60" s="1">
        <v>23</v>
      </c>
      <c r="E60" s="4">
        <f t="shared" si="0"/>
        <v>6073.8379399417727</v>
      </c>
    </row>
    <row r="61" spans="4:5" x14ac:dyDescent="0.35">
      <c r="D61" s="1">
        <v>22</v>
      </c>
      <c r="E61" s="4">
        <f t="shared" si="0"/>
        <v>6131.1493383057577</v>
      </c>
    </row>
    <row r="62" spans="4:5" x14ac:dyDescent="0.35">
      <c r="D62" s="1">
        <v>21</v>
      </c>
      <c r="E62" s="4">
        <f t="shared" si="0"/>
        <v>6188.0079682339847</v>
      </c>
    </row>
    <row r="63" spans="4:5" x14ac:dyDescent="0.35">
      <c r="D63" s="1">
        <v>20</v>
      </c>
      <c r="E63" s="4">
        <f t="shared" si="0"/>
        <v>6244.4249913364702</v>
      </c>
    </row>
    <row r="64" spans="4:5" x14ac:dyDescent="0.35">
      <c r="D64" s="1">
        <v>19</v>
      </c>
      <c r="E64" s="4">
        <f t="shared" si="0"/>
        <v>6300.4111132877706</v>
      </c>
    </row>
    <row r="65" spans="4:5" x14ac:dyDescent="0.35">
      <c r="D65" s="1">
        <v>18</v>
      </c>
      <c r="E65" s="4">
        <f t="shared" si="0"/>
        <v>6355.9766095951381</v>
      </c>
    </row>
    <row r="66" spans="4:5" x14ac:dyDescent="0.35">
      <c r="D66" s="1">
        <v>17</v>
      </c>
      <c r="E66" s="4">
        <f t="shared" si="0"/>
        <v>6411.1313495195482</v>
      </c>
    </row>
    <row r="67" spans="4:5" x14ac:dyDescent="0.35">
      <c r="D67" s="1">
        <v>16</v>
      </c>
      <c r="E67" s="4">
        <f t="shared" si="0"/>
        <v>6465.8848183091177</v>
      </c>
    </row>
    <row r="68" spans="4:5" x14ac:dyDescent="0.35">
      <c r="D68" s="1">
        <v>15</v>
      </c>
      <c r="E68" s="4">
        <f t="shared" ref="E68:E83" si="1">$B$5*(($B$3-D68)/($B$3-$B$4))^0.54</f>
        <v>6520.2461378884118</v>
      </c>
    </row>
    <row r="69" spans="4:5" x14ac:dyDescent="0.35">
      <c r="D69" s="1">
        <v>14</v>
      </c>
      <c r="E69" s="4">
        <f t="shared" si="1"/>
        <v>6574.2240861329037</v>
      </c>
    </row>
    <row r="70" spans="4:5" x14ac:dyDescent="0.35">
      <c r="D70" s="1">
        <v>13</v>
      </c>
      <c r="E70" s="4">
        <f t="shared" si="1"/>
        <v>6627.8271148452686</v>
      </c>
    </row>
    <row r="71" spans="4:5" x14ac:dyDescent="0.35">
      <c r="D71" s="1">
        <v>12</v>
      </c>
      <c r="E71" s="4">
        <f t="shared" si="1"/>
        <v>6681.0633665389314</v>
      </c>
    </row>
    <row r="72" spans="4:5" x14ac:dyDescent="0.35">
      <c r="D72" s="1">
        <v>11</v>
      </c>
      <c r="E72" s="4">
        <f t="shared" si="1"/>
        <v>6733.9406901243701</v>
      </c>
    </row>
    <row r="73" spans="4:5" x14ac:dyDescent="0.35">
      <c r="D73" s="1">
        <v>10</v>
      </c>
      <c r="E73" s="4">
        <f t="shared" si="1"/>
        <v>6786.4666555846952</v>
      </c>
    </row>
    <row r="74" spans="4:5" x14ac:dyDescent="0.35">
      <c r="D74" s="1">
        <v>9</v>
      </c>
      <c r="E74" s="4">
        <f t="shared" si="1"/>
        <v>6838.6485677191167</v>
      </c>
    </row>
    <row r="75" spans="4:5" x14ac:dyDescent="0.35">
      <c r="D75" s="1">
        <v>8</v>
      </c>
      <c r="E75" s="4">
        <f t="shared" si="1"/>
        <v>6890.4934790257503</v>
      </c>
    </row>
    <row r="76" spans="4:5" x14ac:dyDescent="0.35">
      <c r="D76" s="1">
        <v>7</v>
      </c>
      <c r="E76" s="4">
        <f t="shared" si="1"/>
        <v>6942.0082017888435</v>
      </c>
    </row>
    <row r="77" spans="4:5" x14ac:dyDescent="0.35">
      <c r="D77" s="1">
        <v>6</v>
      </c>
      <c r="E77" s="4">
        <f t="shared" si="1"/>
        <v>6993.1993194297293</v>
      </c>
    </row>
    <row r="78" spans="4:5" x14ac:dyDescent="0.35">
      <c r="D78" s="1">
        <v>5</v>
      </c>
      <c r="E78" s="4">
        <f t="shared" si="1"/>
        <v>7044.073197175695</v>
      </c>
    </row>
    <row r="79" spans="4:5" x14ac:dyDescent="0.35">
      <c r="D79" s="1">
        <v>4</v>
      </c>
      <c r="E79" s="4">
        <f t="shared" si="1"/>
        <v>7094.6359920962677</v>
      </c>
    </row>
    <row r="80" spans="4:5" x14ac:dyDescent="0.35">
      <c r="D80" s="1">
        <v>3</v>
      </c>
      <c r="E80" s="4">
        <f t="shared" si="1"/>
        <v>7144.8936625522319</v>
      </c>
    </row>
    <row r="81" spans="4:5" x14ac:dyDescent="0.35">
      <c r="D81" s="1">
        <v>2</v>
      </c>
      <c r="E81" s="4">
        <f t="shared" si="1"/>
        <v>7194.8519770988923</v>
      </c>
    </row>
    <row r="82" spans="4:5" x14ac:dyDescent="0.35">
      <c r="D82" s="1">
        <v>1</v>
      </c>
      <c r="E82" s="4">
        <f t="shared" si="1"/>
        <v>7244.5165228817132</v>
      </c>
    </row>
    <row r="83" spans="4:5" x14ac:dyDescent="0.35">
      <c r="D83" s="1">
        <v>0</v>
      </c>
      <c r="E83" s="4">
        <f t="shared" si="1"/>
        <v>7293.8927135592703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71932-17E9-40CF-AF2D-EB92C7E33BA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Estimated Flow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Cronin</dc:creator>
  <cp:lastModifiedBy>Kelly Cronin</cp:lastModifiedBy>
  <dcterms:created xsi:type="dcterms:W3CDTF">2026-03-07T22:02:12Z</dcterms:created>
  <dcterms:modified xsi:type="dcterms:W3CDTF">2026-03-08T04:40:43Z</dcterms:modified>
</cp:coreProperties>
</file>